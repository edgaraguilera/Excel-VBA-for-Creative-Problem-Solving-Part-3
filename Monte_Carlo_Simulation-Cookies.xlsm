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60" windowWidth="20490" windowHeight="7695"/>
  </bookViews>
  <sheets>
    <sheet name="Main" sheetId="1" r:id="rId1"/>
    <sheet name="Histogram" sheetId="59" r:id="rId2"/>
    <sheet name="Histogram Data" sheetId="2" r:id="rId3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" i="1" l="1"/>
  <c r="H10" i="1"/>
  <c r="H9" i="1"/>
  <c r="H8" i="1"/>
  <c r="H7" i="1"/>
  <c r="H6" i="1"/>
  <c r="H5" i="1"/>
  <c r="H4" i="1"/>
  <c r="H3" i="1"/>
  <c r="H13" i="1" l="1"/>
  <c r="H16" i="1" s="1"/>
  <c r="H19" i="1" s="1"/>
</calcChain>
</file>

<file path=xl/sharedStrings.xml><?xml version="1.0" encoding="utf-8"?>
<sst xmlns="http://schemas.openxmlformats.org/spreadsheetml/2006/main" count="49" uniqueCount="37">
  <si>
    <t>Flour</t>
  </si>
  <si>
    <t>specific cost</t>
  </si>
  <si>
    <t>amt.</t>
  </si>
  <si>
    <t>1 batch of Cookies</t>
  </si>
  <si>
    <t>units</t>
  </si>
  <si>
    <t>per lb</t>
  </si>
  <si>
    <t>cups</t>
  </si>
  <si>
    <t>total cost per batch</t>
  </si>
  <si>
    <t>tsp</t>
  </si>
  <si>
    <t>other</t>
  </si>
  <si>
    <t>g/cup</t>
  </si>
  <si>
    <t>g/cm^3</t>
  </si>
  <si>
    <t>per oz.</t>
  </si>
  <si>
    <t>per stick</t>
  </si>
  <si>
    <t>sticks</t>
  </si>
  <si>
    <t>cup</t>
  </si>
  <si>
    <t>per fl. oz.</t>
  </si>
  <si>
    <t>Eggs</t>
  </si>
  <si>
    <t>per egg</t>
  </si>
  <si>
    <t>eggs, large</t>
  </si>
  <si>
    <t>per bag</t>
  </si>
  <si>
    <t>bag</t>
  </si>
  <si>
    <t>Total:</t>
  </si>
  <si>
    <t>Per cookie:</t>
  </si>
  <si>
    <t>Total cookies:</t>
  </si>
  <si>
    <t>Baking soda</t>
  </si>
  <si>
    <t>Salt</t>
  </si>
  <si>
    <t>Butter</t>
  </si>
  <si>
    <t>Sugar</t>
  </si>
  <si>
    <t>Brown sugar</t>
  </si>
  <si>
    <t>Vanilla</t>
  </si>
  <si>
    <t>Selling price:</t>
  </si>
  <si>
    <t>per cookie</t>
  </si>
  <si>
    <t>Profit:</t>
  </si>
  <si>
    <t>Chocolate chips</t>
  </si>
  <si>
    <t>*IMPORTANT: DO NOT DELETE THIS SHEET</t>
  </si>
  <si>
    <t>OR CHANGE ITS NAME!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</si>
</sst>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&quot;$&quot;#,##0.00_);[Red]\(&quot;$&quot;#,##0.00\)"/>
    <numFmt numFmtId="165" formatCode="_(&quot;$&quot;* #,##0.00_);_(&quot;$&quot;* \(#,##0.00\);_(&quot;$&quot;* &quot;-&quot;??_);_(@_)"/>
    <numFmt numFmtId="167" formatCode="&quot;$&quot;#,##0.000_);[Red]\(&quot;$&quot;#,##0.000\)"/>
    <numFmt numFmtId="168" formatCode="_(&quot;$&quot;* #,##0.0000_);_(&quot;$&quot;* \(#,##0.00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13">
    <xf numFmtId="0" fontId="0" fillId="0" borderId="0" xfId="0"/>
    <xf numFmtId="0" fontId="2" fillId="0" borderId="0" xfId="0" applyFont="1"/>
    <xf numFmtId="165" fontId="0" fillId="0" borderId="0" xfId="1" applyFont="1"/>
    <xf numFmtId="165" fontId="0" fillId="0" borderId="0" xfId="0" applyNumberFormat="1"/>
    <xf numFmtId="9" fontId="0" fillId="0" borderId="0" xfId="0" quotePrefix="1" applyNumberFormat="1"/>
    <xf numFmtId="0" fontId="0" fillId="0" borderId="0" xfId="0" quotePrefix="1"/>
    <xf numFmtId="165" fontId="0" fillId="0" borderId="0" xfId="1" applyNumberFormat="1" applyFont="1"/>
    <xf numFmtId="165" fontId="0" fillId="0" borderId="1" xfId="0" applyNumberFormat="1" applyBorder="1"/>
    <xf numFmtId="0" fontId="0" fillId="0" borderId="0" xfId="0" applyAlignment="1">
      <alignment horizontal="right"/>
    </xf>
    <xf numFmtId="164" fontId="0" fillId="0" borderId="0" xfId="0" applyNumberFormat="1"/>
    <xf numFmtId="165" fontId="0" fillId="0" borderId="0" xfId="0" applyNumberFormat="1" applyAlignment="1">
      <alignment horizontal="right"/>
    </xf>
    <xf numFmtId="167" fontId="2" fillId="0" borderId="1" xfId="0" applyNumberFormat="1" applyFont="1" applyBorder="1"/>
    <xf numFmtId="168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0.109</c:v>
                </c:pt>
                <c:pt idx="1">
                  <c:v>0.111</c:v>
                </c:pt>
                <c:pt idx="2">
                  <c:v>0.113</c:v>
                </c:pt>
                <c:pt idx="3">
                  <c:v>0.115</c:v>
                </c:pt>
                <c:pt idx="4">
                  <c:v>0.11700000000000001</c:v>
                </c:pt>
                <c:pt idx="5">
                  <c:v>0.11900000000000001</c:v>
                </c:pt>
                <c:pt idx="6">
                  <c:v>0.12100000000000001</c:v>
                </c:pt>
                <c:pt idx="7">
                  <c:v>0.12300000000000001</c:v>
                </c:pt>
                <c:pt idx="8">
                  <c:v>0.125</c:v>
                </c:pt>
                <c:pt idx="9">
                  <c:v>0.127</c:v>
                </c:pt>
                <c:pt idx="10">
                  <c:v>0.129</c:v>
                </c:pt>
                <c:pt idx="11">
                  <c:v>0.13100000000000001</c:v>
                </c:pt>
                <c:pt idx="12">
                  <c:v>0.13300000000000001</c:v>
                </c:pt>
                <c:pt idx="13">
                  <c:v>0.13500000000000001</c:v>
                </c:pt>
                <c:pt idx="14">
                  <c:v>0.13700000000000001</c:v>
                </c:pt>
                <c:pt idx="15">
                  <c:v>0.13900000000000001</c:v>
                </c:pt>
                <c:pt idx="16">
                  <c:v>0.14100000000000001</c:v>
                </c:pt>
                <c:pt idx="17">
                  <c:v>0.14300000000000002</c:v>
                </c:pt>
                <c:pt idx="18">
                  <c:v>0.14500000000000002</c:v>
                </c:pt>
                <c:pt idx="19">
                  <c:v>0.14700000000000002</c:v>
                </c:pt>
                <c:pt idx="20">
                  <c:v>0.14900000000000002</c:v>
                </c:pt>
                <c:pt idx="21">
                  <c:v>0.15100000000000002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1</c:v>
                </c:pt>
                <c:pt idx="1">
                  <c:v>7</c:v>
                </c:pt>
                <c:pt idx="2">
                  <c:v>8</c:v>
                </c:pt>
                <c:pt idx="3">
                  <c:v>2</c:v>
                </c:pt>
                <c:pt idx="4">
                  <c:v>2</c:v>
                </c:pt>
                <c:pt idx="5">
                  <c:v>13</c:v>
                </c:pt>
                <c:pt idx="6">
                  <c:v>32</c:v>
                </c:pt>
                <c:pt idx="7">
                  <c:v>42</c:v>
                </c:pt>
                <c:pt idx="8">
                  <c:v>24</c:v>
                </c:pt>
                <c:pt idx="9">
                  <c:v>26</c:v>
                </c:pt>
                <c:pt idx="10">
                  <c:v>78</c:v>
                </c:pt>
                <c:pt idx="11">
                  <c:v>101</c:v>
                </c:pt>
                <c:pt idx="12">
                  <c:v>133</c:v>
                </c:pt>
                <c:pt idx="13">
                  <c:v>68</c:v>
                </c:pt>
                <c:pt idx="14">
                  <c:v>53</c:v>
                </c:pt>
                <c:pt idx="15">
                  <c:v>97</c:v>
                </c:pt>
                <c:pt idx="16">
                  <c:v>97</c:v>
                </c:pt>
                <c:pt idx="17">
                  <c:v>72</c:v>
                </c:pt>
                <c:pt idx="18">
                  <c:v>82</c:v>
                </c:pt>
                <c:pt idx="19">
                  <c:v>40</c:v>
                </c:pt>
                <c:pt idx="20">
                  <c:v>19</c:v>
                </c:pt>
                <c:pt idx="21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085888"/>
        <c:axId val="178088192"/>
      </c:barChart>
      <c:catAx>
        <c:axId val="178085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 Center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8088192"/>
        <c:crosses val="autoZero"/>
        <c:auto val="1"/>
        <c:lblAlgn val="ctr"/>
        <c:lblOffset val="100"/>
        <c:noMultiLvlLbl val="0"/>
      </c:catAx>
      <c:valAx>
        <c:axId val="178088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085888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6"/>
  <sheetViews>
    <sheetView zoomScale="7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695325</xdr:colOff>
          <xdr:row>13</xdr:row>
          <xdr:rowOff>76200</xdr:rowOff>
        </xdr:from>
        <xdr:to>
          <xdr:col>4</xdr:col>
          <xdr:colOff>209550</xdr:colOff>
          <xdr:row>15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7975" cy="607670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7"/>
  <sheetViews>
    <sheetView tabSelected="1" zoomScale="110" zoomScaleNormal="110" workbookViewId="0">
      <selection activeCell="A17" sqref="A17"/>
    </sheetView>
  </sheetViews>
  <sheetFormatPr defaultRowHeight="15" x14ac:dyDescent="0.25"/>
  <cols>
    <col min="1" max="1" width="19.140625" bestFit="1" customWidth="1"/>
    <col min="2" max="2" width="11.7109375" bestFit="1" customWidth="1"/>
    <col min="3" max="3" width="13.140625" customWidth="1"/>
    <col min="5" max="5" width="10.42578125" bestFit="1" customWidth="1"/>
    <col min="6" max="6" width="10.7109375" customWidth="1"/>
    <col min="7" max="7" width="11.85546875" bestFit="1" customWidth="1"/>
    <col min="8" max="8" width="17.5703125" customWidth="1"/>
    <col min="9" max="9" width="11" customWidth="1"/>
  </cols>
  <sheetData>
    <row r="1" spans="1:8" ht="14.25" x14ac:dyDescent="0.45">
      <c r="A1" t="s">
        <v>3</v>
      </c>
    </row>
    <row r="2" spans="1:8" ht="14.25" x14ac:dyDescent="0.45">
      <c r="B2" t="s">
        <v>1</v>
      </c>
      <c r="C2" t="s">
        <v>4</v>
      </c>
      <c r="D2" t="s">
        <v>2</v>
      </c>
      <c r="E2" t="s">
        <v>4</v>
      </c>
      <c r="F2" t="s">
        <v>9</v>
      </c>
      <c r="G2" t="s">
        <v>4</v>
      </c>
      <c r="H2" t="s">
        <v>7</v>
      </c>
    </row>
    <row r="3" spans="1:8" x14ac:dyDescent="0.25">
      <c r="A3" t="s">
        <v>0</v>
      </c>
      <c r="B3" s="2">
        <v>0.51737434864044185</v>
      </c>
      <c r="C3" t="s">
        <v>5</v>
      </c>
      <c r="D3">
        <v>2.25</v>
      </c>
      <c r="E3" t="s">
        <v>6</v>
      </c>
      <c r="F3">
        <v>125</v>
      </c>
      <c r="G3" t="s">
        <v>10</v>
      </c>
      <c r="H3" s="2">
        <f>B3*D3*F3/454</f>
        <v>0.32050999020952486</v>
      </c>
    </row>
    <row r="4" spans="1:8" x14ac:dyDescent="0.25">
      <c r="A4" t="s">
        <v>25</v>
      </c>
      <c r="B4" s="2">
        <v>1.8180800737616021</v>
      </c>
      <c r="C4" t="s">
        <v>5</v>
      </c>
      <c r="D4">
        <v>1</v>
      </c>
      <c r="E4" t="s">
        <v>8</v>
      </c>
      <c r="F4">
        <v>2.2000000000000002</v>
      </c>
      <c r="G4" t="s">
        <v>11</v>
      </c>
      <c r="H4" s="2">
        <f>B4*D4*F4/454*4.929</f>
        <v>4.3424882607612479E-2</v>
      </c>
    </row>
    <row r="5" spans="1:8" x14ac:dyDescent="0.25">
      <c r="A5" t="s">
        <v>26</v>
      </c>
      <c r="B5" s="2">
        <v>0.1036758236616548</v>
      </c>
      <c r="C5" t="s">
        <v>12</v>
      </c>
      <c r="D5">
        <v>1</v>
      </c>
      <c r="E5" t="s">
        <v>8</v>
      </c>
      <c r="F5">
        <v>2.16</v>
      </c>
      <c r="G5" t="s">
        <v>11</v>
      </c>
      <c r="H5" s="2">
        <f>B5*D5*F5/454*4.929*16</f>
        <v>3.8900411320850065E-2</v>
      </c>
    </row>
    <row r="6" spans="1:8" x14ac:dyDescent="0.25">
      <c r="A6" t="s">
        <v>27</v>
      </c>
      <c r="B6" s="2">
        <v>0.6</v>
      </c>
      <c r="C6" t="s">
        <v>13</v>
      </c>
      <c r="D6">
        <v>2</v>
      </c>
      <c r="E6" t="s">
        <v>14</v>
      </c>
      <c r="H6" s="2">
        <f>B6*D6</f>
        <v>1.2</v>
      </c>
    </row>
    <row r="7" spans="1:8" x14ac:dyDescent="0.25">
      <c r="A7" s="1" t="s">
        <v>28</v>
      </c>
      <c r="B7" s="2">
        <v>0.64809897184371945</v>
      </c>
      <c r="C7" t="s">
        <v>5</v>
      </c>
      <c r="D7">
        <v>0.75</v>
      </c>
      <c r="E7" t="s">
        <v>15</v>
      </c>
      <c r="F7">
        <v>1.59</v>
      </c>
      <c r="G7" t="s">
        <v>11</v>
      </c>
      <c r="H7" s="2">
        <f>B7*D7*F7*236.6/454</f>
        <v>0.40277138427385945</v>
      </c>
    </row>
    <row r="8" spans="1:8" x14ac:dyDescent="0.25">
      <c r="A8" s="1" t="s">
        <v>29</v>
      </c>
      <c r="B8" s="2">
        <v>3.0683941238558314</v>
      </c>
      <c r="C8" t="s">
        <v>5</v>
      </c>
      <c r="D8">
        <v>0.75</v>
      </c>
      <c r="E8" t="s">
        <v>15</v>
      </c>
      <c r="F8">
        <v>0.93</v>
      </c>
      <c r="G8" t="s">
        <v>11</v>
      </c>
      <c r="H8" s="2">
        <f>B8*D8*F8*236.6/454</f>
        <v>1.115357884732912</v>
      </c>
    </row>
    <row r="9" spans="1:8" x14ac:dyDescent="0.25">
      <c r="A9" t="s">
        <v>30</v>
      </c>
      <c r="B9" s="2">
        <v>2.2377765107154848</v>
      </c>
      <c r="C9" t="s">
        <v>16</v>
      </c>
      <c r="D9">
        <v>1</v>
      </c>
      <c r="E9" t="s">
        <v>8</v>
      </c>
      <c r="H9" s="2">
        <f>B9*D9/6</f>
        <v>0.37296275178591415</v>
      </c>
    </row>
    <row r="10" spans="1:8" x14ac:dyDescent="0.25">
      <c r="A10" t="s">
        <v>17</v>
      </c>
      <c r="B10" s="2">
        <v>0.25</v>
      </c>
      <c r="C10" t="s">
        <v>18</v>
      </c>
      <c r="D10">
        <v>2</v>
      </c>
      <c r="E10" t="s">
        <v>19</v>
      </c>
      <c r="H10" s="2">
        <f>B10*D10</f>
        <v>0.5</v>
      </c>
    </row>
    <row r="11" spans="1:8" x14ac:dyDescent="0.25">
      <c r="A11" t="s">
        <v>34</v>
      </c>
      <c r="B11" s="2">
        <v>2.2799999999999998</v>
      </c>
      <c r="C11" t="s">
        <v>20</v>
      </c>
      <c r="D11">
        <v>1</v>
      </c>
      <c r="E11" t="s">
        <v>21</v>
      </c>
      <c r="H11" s="2">
        <f>B11</f>
        <v>2.2799999999999998</v>
      </c>
    </row>
    <row r="12" spans="1:8" ht="14.65" thickBot="1" x14ac:dyDescent="0.5"/>
    <row r="13" spans="1:8" ht="14.65" thickBot="1" x14ac:dyDescent="0.5">
      <c r="G13" t="s">
        <v>22</v>
      </c>
      <c r="H13" s="7">
        <f>SUM(H3:H11)</f>
        <v>6.2739273049306732</v>
      </c>
    </row>
    <row r="14" spans="1:8" ht="14.25" x14ac:dyDescent="0.45">
      <c r="H14" s="3"/>
    </row>
    <row r="15" spans="1:8" ht="14.25" x14ac:dyDescent="0.45">
      <c r="A15" s="8"/>
      <c r="B15" s="2"/>
      <c r="G15" t="s">
        <v>24</v>
      </c>
      <c r="H15">
        <v>60</v>
      </c>
    </row>
    <row r="16" spans="1:8" ht="14.25" x14ac:dyDescent="0.45">
      <c r="A16" s="8"/>
      <c r="G16" t="s">
        <v>23</v>
      </c>
      <c r="H16" s="12">
        <f>H13/H15</f>
        <v>0.10456545508217789</v>
      </c>
    </row>
    <row r="17" spans="1:9" x14ac:dyDescent="0.25">
      <c r="A17" s="8"/>
    </row>
    <row r="18" spans="1:9" ht="15.75" thickBot="1" x14ac:dyDescent="0.3">
      <c r="G18" t="s">
        <v>31</v>
      </c>
      <c r="H18" s="9">
        <v>0.25</v>
      </c>
      <c r="I18" t="s">
        <v>32</v>
      </c>
    </row>
    <row r="19" spans="1:9" ht="15.75" thickBot="1" x14ac:dyDescent="0.3">
      <c r="A19" t="s">
        <v>35</v>
      </c>
      <c r="E19" s="3"/>
      <c r="G19" s="10" t="s">
        <v>33</v>
      </c>
      <c r="H19" s="11">
        <f>$H$18-H16</f>
        <v>0.1454345449178221</v>
      </c>
      <c r="I19" s="3" t="s">
        <v>32</v>
      </c>
    </row>
    <row r="20" spans="1:9" x14ac:dyDescent="0.25">
      <c r="A20" t="s">
        <v>36</v>
      </c>
      <c r="C20" s="4"/>
      <c r="D20" s="3"/>
      <c r="E20" s="6"/>
      <c r="F20" s="3"/>
      <c r="G20" s="2"/>
      <c r="H20" s="3"/>
      <c r="I20" s="2"/>
    </row>
    <row r="21" spans="1:9" x14ac:dyDescent="0.25">
      <c r="C21" s="5"/>
      <c r="D21" s="3"/>
      <c r="E21" s="6"/>
      <c r="F21" s="3"/>
      <c r="G21" s="2"/>
      <c r="H21" s="3"/>
      <c r="I21" s="2"/>
    </row>
    <row r="22" spans="1:9" x14ac:dyDescent="0.25">
      <c r="C22" s="5"/>
      <c r="D22" s="3"/>
      <c r="E22" s="6"/>
      <c r="F22" s="3"/>
      <c r="G22" s="2"/>
      <c r="H22" s="3"/>
      <c r="I22" s="2"/>
    </row>
    <row r="23" spans="1:9" x14ac:dyDescent="0.25">
      <c r="C23" s="5"/>
      <c r="D23" s="3"/>
      <c r="E23" s="6"/>
      <c r="F23" s="3"/>
      <c r="G23" s="2"/>
      <c r="H23" s="3"/>
      <c r="I23" s="2"/>
    </row>
    <row r="24" spans="1:9" x14ac:dyDescent="0.25">
      <c r="C24" s="4"/>
      <c r="D24" s="3"/>
      <c r="E24" s="6"/>
      <c r="F24" s="3"/>
      <c r="G24" s="2"/>
      <c r="H24" s="3"/>
      <c r="I24" s="2"/>
    </row>
    <row r="25" spans="1:9" x14ac:dyDescent="0.25">
      <c r="C25" s="5"/>
      <c r="D25" s="3"/>
      <c r="E25" s="6"/>
      <c r="F25" s="3"/>
      <c r="G25" s="2"/>
      <c r="H25" s="3"/>
      <c r="I25" s="2"/>
    </row>
    <row r="26" spans="1:9" x14ac:dyDescent="0.25">
      <c r="C26" s="5"/>
      <c r="D26" s="3"/>
      <c r="E26" s="6"/>
      <c r="F26" s="3"/>
      <c r="G26" s="2"/>
      <c r="H26" s="3"/>
      <c r="I26" s="2"/>
    </row>
    <row r="27" spans="1:9" x14ac:dyDescent="0.25">
      <c r="C27" s="5"/>
      <c r="D27" s="3"/>
      <c r="E27" s="6"/>
      <c r="F27" s="3"/>
      <c r="G27" s="2"/>
      <c r="H27" s="3"/>
      <c r="I27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2</xdr:col>
                    <xdr:colOff>695325</xdr:colOff>
                    <xdr:row>13</xdr:row>
                    <xdr:rowOff>76200</xdr:rowOff>
                  </from>
                  <to>
                    <xdr:col>4</xdr:col>
                    <xdr:colOff>209550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2"/>
  <sheetViews>
    <sheetView workbookViewId="0">
      <selection sqref="A1:B22"/>
    </sheetView>
  </sheetViews>
  <sheetFormatPr defaultRowHeight="15" x14ac:dyDescent="0.25"/>
  <sheetData>
    <row r="1" spans="1:2" x14ac:dyDescent="0.45">
      <c r="A1">
        <v>0.109</v>
      </c>
      <c r="B1">
        <v>1</v>
      </c>
    </row>
    <row r="2" spans="1:2" x14ac:dyDescent="0.45">
      <c r="A2">
        <v>0.111</v>
      </c>
      <c r="B2">
        <v>7</v>
      </c>
    </row>
    <row r="3" spans="1:2" x14ac:dyDescent="0.45">
      <c r="A3">
        <v>0.113</v>
      </c>
      <c r="B3">
        <v>8</v>
      </c>
    </row>
    <row r="4" spans="1:2" x14ac:dyDescent="0.45">
      <c r="A4">
        <v>0.115</v>
      </c>
      <c r="B4">
        <v>2</v>
      </c>
    </row>
    <row r="5" spans="1:2" x14ac:dyDescent="0.45">
      <c r="A5">
        <v>0.11700000000000001</v>
      </c>
      <c r="B5">
        <v>2</v>
      </c>
    </row>
    <row r="6" spans="1:2" x14ac:dyDescent="0.45">
      <c r="A6">
        <v>0.11900000000000001</v>
      </c>
      <c r="B6">
        <v>13</v>
      </c>
    </row>
    <row r="7" spans="1:2" x14ac:dyDescent="0.45">
      <c r="A7">
        <v>0.12100000000000001</v>
      </c>
      <c r="B7">
        <v>32</v>
      </c>
    </row>
    <row r="8" spans="1:2" x14ac:dyDescent="0.45">
      <c r="A8">
        <v>0.12300000000000001</v>
      </c>
      <c r="B8">
        <v>42</v>
      </c>
    </row>
    <row r="9" spans="1:2" x14ac:dyDescent="0.45">
      <c r="A9">
        <v>0.125</v>
      </c>
      <c r="B9">
        <v>24</v>
      </c>
    </row>
    <row r="10" spans="1:2" x14ac:dyDescent="0.45">
      <c r="A10">
        <v>0.127</v>
      </c>
      <c r="B10">
        <v>26</v>
      </c>
    </row>
    <row r="11" spans="1:2" x14ac:dyDescent="0.45">
      <c r="A11">
        <v>0.129</v>
      </c>
      <c r="B11">
        <v>78</v>
      </c>
    </row>
    <row r="12" spans="1:2" x14ac:dyDescent="0.45">
      <c r="A12">
        <v>0.13100000000000001</v>
      </c>
      <c r="B12">
        <v>101</v>
      </c>
    </row>
    <row r="13" spans="1:2" x14ac:dyDescent="0.45">
      <c r="A13">
        <v>0.13300000000000001</v>
      </c>
      <c r="B13">
        <v>133</v>
      </c>
    </row>
    <row r="14" spans="1:2" x14ac:dyDescent="0.45">
      <c r="A14">
        <v>0.13500000000000001</v>
      </c>
      <c r="B14">
        <v>68</v>
      </c>
    </row>
    <row r="15" spans="1:2" x14ac:dyDescent="0.45">
      <c r="A15">
        <v>0.13700000000000001</v>
      </c>
      <c r="B15">
        <v>53</v>
      </c>
    </row>
    <row r="16" spans="1:2" x14ac:dyDescent="0.45">
      <c r="A16">
        <v>0.13900000000000001</v>
      </c>
      <c r="B16">
        <v>97</v>
      </c>
    </row>
    <row r="17" spans="1:2" x14ac:dyDescent="0.45">
      <c r="A17">
        <v>0.14100000000000001</v>
      </c>
      <c r="B17">
        <v>97</v>
      </c>
    </row>
    <row r="18" spans="1:2" x14ac:dyDescent="0.25">
      <c r="A18">
        <v>0.14300000000000002</v>
      </c>
      <c r="B18">
        <v>72</v>
      </c>
    </row>
    <row r="19" spans="1:2" x14ac:dyDescent="0.25">
      <c r="A19">
        <v>0.14500000000000002</v>
      </c>
      <c r="B19">
        <v>82</v>
      </c>
    </row>
    <row r="20" spans="1:2" x14ac:dyDescent="0.25">
      <c r="A20">
        <v>0.14700000000000002</v>
      </c>
      <c r="B20">
        <v>40</v>
      </c>
    </row>
    <row r="21" spans="1:2" x14ac:dyDescent="0.25">
      <c r="A21">
        <v>0.14900000000000002</v>
      </c>
      <c r="B21">
        <v>19</v>
      </c>
    </row>
    <row r="22" spans="1:2" x14ac:dyDescent="0.25">
      <c r="A22">
        <v>0.15100000000000002</v>
      </c>
      <c r="B2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Main</vt:lpstr>
      <vt:lpstr>Histogram Data</vt:lpstr>
      <vt:lpstr>Histogram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edgar</cp:lastModifiedBy>
  <dcterms:created xsi:type="dcterms:W3CDTF">2013-10-29T18:00:12Z</dcterms:created>
  <dcterms:modified xsi:type="dcterms:W3CDTF">2022-02-05T12:10:50Z</dcterms:modified>
</cp:coreProperties>
</file>