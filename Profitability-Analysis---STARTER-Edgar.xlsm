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490" windowHeight="7755"/>
  </bookViews>
  <sheets>
    <sheet name="Main" sheetId="1" r:id="rId1"/>
    <sheet name="Histogram" sheetId="84" r:id="rId2"/>
    <sheet name="Histogram Data" sheetId="2" r:id="rId3"/>
    <sheet name="Sheet1" sheetId="51" r:id="rId4"/>
    <sheet name="Sheet2" sheetId="55" r:id="rId5"/>
  </sheets>
  <functionGroups builtInGroupCount="17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12" i="1" l="1"/>
  <c r="L12" i="1" s="1"/>
  <c r="M12" i="1" s="1"/>
  <c r="K22" i="1"/>
  <c r="L22" i="1" s="1"/>
  <c r="M22" i="1" s="1"/>
  <c r="K21" i="1"/>
  <c r="L21" i="1" s="1"/>
  <c r="M21" i="1" s="1"/>
  <c r="K23" i="1"/>
  <c r="L23" i="1" s="1"/>
  <c r="M23" i="1" s="1"/>
  <c r="K24" i="1"/>
  <c r="L24" i="1" s="1"/>
  <c r="M24" i="1" s="1"/>
  <c r="K20" i="1"/>
  <c r="L20" i="1" s="1"/>
  <c r="M20" i="1" s="1"/>
  <c r="L11" i="1"/>
  <c r="M11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K19" i="1"/>
  <c r="L19" i="1" s="1"/>
  <c r="M19" i="1" s="1"/>
  <c r="K14" i="1"/>
  <c r="L14" i="1" s="1"/>
  <c r="M14" i="1" s="1"/>
  <c r="K17" i="1"/>
  <c r="L17" i="1" s="1"/>
  <c r="M17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<sst xmlns="http://schemas.openxmlformats.org/spreadsheetml/2006/main" count="37" uniqueCount="31">
  <si>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</si>
  <si>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</si>
  <si>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</si>
  <si>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</si>
  <si>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</si>
  <si>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</si>
  <si>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</si>
  <si>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</si>
  <si>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</si>
  <si>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</si>
  <si>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</si>
  <si>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</si>
  <si>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</si>
  <si>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</si>
  <si>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</si>
  <si>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</si>
  <si>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</si>
  <si>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</si>
  <si>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</si>
  <si>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</si>
  <si>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</si>
  <si>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</si>
  <si>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</si>
  <si>
    <t>with these data result must be aprox 40%+-5% of simulations have NPV&gt;0</t>
  </si>
  <si>
    <t>Grader data</t>
  </si>
  <si>
    <t>¿¿¿¿¿ with these data result must be aprox 12%+-2% of simulations have NPV&gt;0 ???????</t>
  </si>
  <si>
    <t>nsim</t>
  </si>
  <si>
    <t>results(%)</t>
  </si>
  <si>
    <t>nsimu</t>
  </si>
  <si>
    <t>result %</t>
  </si>
  <si>
    <t>with rondomize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</si>
</sst>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%"/>
    <numFmt numFmtId="166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164" fontId="0" fillId="0" borderId="0" xfId="1" applyFont="1"/>
    <xf numFmtId="164" fontId="0" fillId="0" borderId="0" xfId="0" applyNumberFormat="1"/>
    <xf numFmtId="0" fontId="0" fillId="0" borderId="0" xfId="0" quotePrefix="1"/>
    <xf numFmtId="164" fontId="0" fillId="0" borderId="0" xfId="1" applyNumberFormat="1" applyFont="1"/>
    <xf numFmtId="2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5" fontId="0" fillId="2" borderId="4" xfId="2" applyNumberFormat="1" applyFont="1" applyFill="1" applyBorder="1"/>
    <xf numFmtId="166" fontId="0" fillId="2" borderId="3" xfId="0" applyNumberFormat="1" applyFill="1" applyBorder="1"/>
    <xf numFmtId="0" fontId="0" fillId="0" borderId="0" xfId="0" applyFill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166" fontId="0" fillId="2" borderId="4" xfId="0" applyNumberFormat="1" applyFill="1" applyBorder="1"/>
    <xf numFmtId="166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5"/>
    </mc:Choice>
    <mc:Fallback>
      <c:style val="15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'Histogram Data'!$A$1:$A$16</c:f>
              <c:numCache>
                <c:formatCode>General</c:formatCode>
                <c:ptCount val="16"/>
                <c:pt idx="0">
                  <c:v>-52</c:v>
                </c:pt>
                <c:pt idx="1">
                  <c:v>-44</c:v>
                </c:pt>
                <c:pt idx="2">
                  <c:v>-36</c:v>
                </c:pt>
                <c:pt idx="3">
                  <c:v>-28</c:v>
                </c:pt>
                <c:pt idx="4">
                  <c:v>-20</c:v>
                </c:pt>
                <c:pt idx="5">
                  <c:v>-12</c:v>
                </c:pt>
                <c:pt idx="6">
                  <c:v>-4</c:v>
                </c:pt>
                <c:pt idx="7">
                  <c:v>4</c:v>
                </c:pt>
                <c:pt idx="8">
                  <c:v>12</c:v>
                </c:pt>
                <c:pt idx="9">
                  <c:v>20</c:v>
                </c:pt>
                <c:pt idx="10">
                  <c:v>28</c:v>
                </c:pt>
                <c:pt idx="11">
                  <c:v>36</c:v>
                </c:pt>
                <c:pt idx="12">
                  <c:v>44</c:v>
                </c:pt>
                <c:pt idx="13">
                  <c:v>52</c:v>
                </c:pt>
                <c:pt idx="14">
                  <c:v>60</c:v>
                </c:pt>
                <c:pt idx="15">
                  <c:v>68</c:v>
                </c:pt>
              </c:numCache>
            </c:numRef>
          </c:cat>
          <c:val>
            <c:numRef>
              <c:f>'Histogram Data'!$B$1:$B$16</c:f>
              <c:numCache>
                <c:formatCode>General</c:formatCode>
                <c:ptCount val="16"/>
                <c:pt idx="0">
                  <c:v>11</c:v>
                </c:pt>
                <c:pt idx="1">
                  <c:v>13</c:v>
                </c:pt>
                <c:pt idx="2">
                  <c:v>24</c:v>
                </c:pt>
                <c:pt idx="3">
                  <c:v>49</c:v>
                </c:pt>
                <c:pt idx="4">
                  <c:v>66</c:v>
                </c:pt>
                <c:pt idx="5">
                  <c:v>57</c:v>
                </c:pt>
                <c:pt idx="6">
                  <c:v>66</c:v>
                </c:pt>
                <c:pt idx="7">
                  <c:v>57</c:v>
                </c:pt>
                <c:pt idx="8">
                  <c:v>67</c:v>
                </c:pt>
                <c:pt idx="9">
                  <c:v>34</c:v>
                </c:pt>
                <c:pt idx="10">
                  <c:v>29</c:v>
                </c:pt>
                <c:pt idx="11">
                  <c:v>9</c:v>
                </c:pt>
                <c:pt idx="12">
                  <c:v>5</c:v>
                </c:pt>
                <c:pt idx="13">
                  <c:v>6</c:v>
                </c:pt>
                <c:pt idx="14">
                  <c:v>2</c:v>
                </c:pt>
                <c:pt idx="15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4911488"/>
        <c:axId val="134913408"/>
      </c:barChart>
      <c:catAx>
        <c:axId val="13491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 Center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4913408"/>
        <c:crosses val="autoZero"/>
        <c:auto val="1"/>
        <c:lblAlgn val="ctr"/>
        <c:lblOffset val="100"/>
        <c:noMultiLvlLbl val="0"/>
      </c:catAx>
      <c:valAx>
        <c:axId val="13491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911488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3"/>
  <sheetViews>
    <sheetView zoomScale="8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0687" cy="60840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36859</xdr:rowOff>
    </xdr:from>
    <xdr:to>
      <xdr:col>10</xdr:col>
      <xdr:colOff>191032</xdr:colOff>
      <xdr:row>27</xdr:row>
      <xdr:rowOff>180975</xdr:rowOff>
    </xdr:to>
    <xdr:pic>
      <xdr:nvPicPr>
        <xdr:cNvPr id="3" name="Picture 2" descr="https://d3c33hcgiwev3.cloudfront.net/imageAssetProxy.v1/sk-PWEArEei1ZBJUMfjU-g_237459753da9dbb31f49e009f6b89deb_monte-carlo-user-form.png?expiry=1644192000000&amp;hmac=pYV07sc5fw8a9XiQUxi4qscF9-rE3dkfXB2Xj_ohZq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36859"/>
          <a:ext cx="6258457" cy="52876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</xdr:row>
      <xdr:rowOff>57150</xdr:rowOff>
    </xdr:from>
    <xdr:to>
      <xdr:col>9</xdr:col>
      <xdr:colOff>418378</xdr:colOff>
      <xdr:row>16</xdr:row>
      <xdr:rowOff>47269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247650"/>
          <a:ext cx="5780953" cy="28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tabSelected="1" zoomScale="90" zoomScaleNormal="90" workbookViewId="0">
      <selection activeCell="C27" sqref="C27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10" width="9.140625" bestFit="1" customWidth="1"/>
  </cols>
  <sheetData>
    <row r="1" spans="1:16" ht="14.25" x14ac:dyDescent="0.45">
      <c r="A1" t="s">
        <v>0</v>
      </c>
    </row>
    <row r="2" spans="1:16" ht="14.65" thickBot="1" x14ac:dyDescent="0.5"/>
    <row r="3" spans="1:16" ht="14.25" x14ac:dyDescent="0.45">
      <c r="A3" t="s">
        <v>1</v>
      </c>
      <c r="B3" s="5">
        <v>-10</v>
      </c>
      <c r="D3" t="s">
        <v>2</v>
      </c>
      <c r="E3" s="15">
        <v>47.130637336937937</v>
      </c>
      <c r="G3" t="s">
        <v>3</v>
      </c>
      <c r="H3" s="5">
        <v>-8.7328225790218266</v>
      </c>
    </row>
    <row r="4" spans="1:16" ht="14.65" thickBot="1" x14ac:dyDescent="0.5">
      <c r="A4" t="s">
        <v>4</v>
      </c>
      <c r="B4" s="6">
        <v>-15.451179795072409</v>
      </c>
      <c r="D4" t="s">
        <v>5</v>
      </c>
      <c r="E4" s="7">
        <v>0.4</v>
      </c>
      <c r="G4" t="s">
        <v>6</v>
      </c>
      <c r="H4" s="8">
        <v>0.13806446492671967</v>
      </c>
    </row>
    <row r="5" spans="1:16" ht="14.25" x14ac:dyDescent="0.45">
      <c r="A5" t="s">
        <v>7</v>
      </c>
      <c r="B5" s="9">
        <v>-94.310600326100626</v>
      </c>
      <c r="H5" s="10"/>
    </row>
    <row r="6" spans="1:16" ht="14.25" x14ac:dyDescent="0.45">
      <c r="A6" t="s">
        <v>8</v>
      </c>
      <c r="B6" s="9">
        <v>-16.967950105667114</v>
      </c>
      <c r="E6" t="s">
        <v>9</v>
      </c>
      <c r="H6" s="10"/>
    </row>
    <row r="7" spans="1:16" ht="14.65" thickBot="1" x14ac:dyDescent="0.5">
      <c r="A7" t="s">
        <v>10</v>
      </c>
      <c r="B7" s="14">
        <v>-14.313518397266606</v>
      </c>
      <c r="E7" t="s">
        <v>11</v>
      </c>
      <c r="H7" s="10"/>
    </row>
    <row r="8" spans="1:16" ht="14.25" x14ac:dyDescent="0.45">
      <c r="M8" t="s">
        <v>12</v>
      </c>
    </row>
    <row r="9" spans="1:16" ht="14.25" x14ac:dyDescent="0.4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ht="14.25" x14ac:dyDescent="0.45">
      <c r="A10">
        <v>1</v>
      </c>
      <c r="B10" s="11">
        <f>0.5*CTDC</f>
        <v>-47.155300163050313</v>
      </c>
      <c r="C10" s="11"/>
      <c r="D10" s="11">
        <f>Cland</f>
        <v>-10</v>
      </c>
      <c r="E10" s="11"/>
      <c r="F10" s="11"/>
      <c r="G10" s="11"/>
      <c r="H10" s="11"/>
      <c r="I10" s="11"/>
      <c r="J10" s="11"/>
      <c r="L10">
        <f>B10+D10</f>
        <v>-57.155300163050313</v>
      </c>
      <c r="M10" s="11">
        <f t="shared" ref="M10:M24" si="0">L10/(1+i)^(A10-1)</f>
        <v>-57.155300163050313</v>
      </c>
      <c r="N10" s="11">
        <f>M10</f>
        <v>-57.155300163050313</v>
      </c>
    </row>
    <row r="11" spans="1:16" ht="14.25" x14ac:dyDescent="0.45">
      <c r="A11">
        <v>2</v>
      </c>
      <c r="B11" s="11">
        <f>0.5*CTDC</f>
        <v>-47.155300163050313</v>
      </c>
      <c r="C11" s="11">
        <f>WC</f>
        <v>-16.967950105667114</v>
      </c>
      <c r="D11" s="11"/>
      <c r="E11" s="11"/>
      <c r="F11" s="11">
        <f>Cstart</f>
        <v>-14.313518397266606</v>
      </c>
      <c r="G11" s="11"/>
      <c r="H11" s="11"/>
      <c r="I11" s="11"/>
      <c r="J11" s="11"/>
      <c r="L11">
        <f>B11+C11+F11</f>
        <v>-78.436768665984033</v>
      </c>
      <c r="M11" s="11">
        <f t="shared" si="0"/>
        <v>-68.921200057884761</v>
      </c>
      <c r="N11" s="11">
        <f>N10+M11</f>
        <v>-126.07650022093507</v>
      </c>
    </row>
    <row r="12" spans="1:16" ht="14.25" x14ac:dyDescent="0.45">
      <c r="A12">
        <v>3</v>
      </c>
      <c r="B12" s="11"/>
      <c r="C12" s="11"/>
      <c r="D12" s="11"/>
      <c r="E12" s="11">
        <f t="shared" ref="E12:E24" si="1">Croyal</f>
        <v>-15.451179795072409</v>
      </c>
      <c r="F12" s="11"/>
      <c r="G12" s="11"/>
      <c r="H12" s="11">
        <f>P12*-CTDC</f>
        <v>13.476984786599779</v>
      </c>
      <c r="I12" s="11">
        <f>0.5*S</f>
        <v>23.565318668468969</v>
      </c>
      <c r="J12" s="11">
        <f>0.5*COS</f>
        <v>-4.3664112895109133</v>
      </c>
      <c r="K12" s="11">
        <f>(1-tax)*(I12-J12-H12)</f>
        <v>8.6728471028280616</v>
      </c>
      <c r="L12" s="11">
        <f t="shared" ref="L12:L23" si="2">K12+H12+E12</f>
        <v>6.6986520943554311</v>
      </c>
      <c r="M12" s="11">
        <f t="shared" si="0"/>
        <v>5.1719426013355871</v>
      </c>
      <c r="N12" s="11">
        <f t="shared" ref="N12:N23" si="3">N11+M12</f>
        <v>-120.90455761959949</v>
      </c>
      <c r="P12" s="12">
        <v>0.1429</v>
      </c>
    </row>
    <row r="13" spans="1:16" ht="14.25" x14ac:dyDescent="0.45">
      <c r="A13">
        <v>4</v>
      </c>
      <c r="B13" s="11"/>
      <c r="C13" s="11"/>
      <c r="D13" s="11"/>
      <c r="E13" s="11">
        <f t="shared" si="1"/>
        <v>-15.451179795072409</v>
      </c>
      <c r="F13" s="11"/>
      <c r="G13" s="11"/>
      <c r="H13" s="11">
        <f t="shared" ref="H13:H19" si="4">P13*-CTDC</f>
        <v>23.096666019862045</v>
      </c>
      <c r="I13" s="11">
        <f>0.8*S</f>
        <v>37.70450986955035</v>
      </c>
      <c r="J13" s="11">
        <f>0.8*COS</f>
        <v>-6.9862580632174618</v>
      </c>
      <c r="K13" s="11">
        <f t="shared" ref="K13:K24" si="5">(1-tax)*(I13-J13-H13)</f>
        <v>12.956461147743459</v>
      </c>
      <c r="L13" s="11">
        <f t="shared" si="2"/>
        <v>20.601947372533093</v>
      </c>
      <c r="M13" s="11">
        <f t="shared" si="0"/>
        <v>13.976797858873185</v>
      </c>
      <c r="N13" s="11">
        <f t="shared" si="3"/>
        <v>-106.9277597607263</v>
      </c>
      <c r="P13" s="12">
        <v>0.24490000000000001</v>
      </c>
    </row>
    <row r="14" spans="1:16" ht="14.25" x14ac:dyDescent="0.45">
      <c r="A14">
        <v>5</v>
      </c>
      <c r="B14" s="11"/>
      <c r="C14" s="11"/>
      <c r="D14" s="11"/>
      <c r="E14" s="11">
        <f t="shared" si="1"/>
        <v>-15.451179795072409</v>
      </c>
      <c r="F14" s="11"/>
      <c r="G14" s="11"/>
      <c r="H14" s="11">
        <f t="shared" si="4"/>
        <v>16.494923997034999</v>
      </c>
      <c r="I14" s="11">
        <f t="shared" ref="I14:I24" si="6">S</f>
        <v>47.130637336937937</v>
      </c>
      <c r="J14" s="11">
        <f t="shared" ref="J14:J24" si="7">COS</f>
        <v>-8.7328225790218266</v>
      </c>
      <c r="K14" s="11">
        <f t="shared" si="5"/>
        <v>23.621121551354857</v>
      </c>
      <c r="L14" s="11">
        <f t="shared" si="2"/>
        <v>24.664865753317446</v>
      </c>
      <c r="M14" s="11">
        <f t="shared" si="0"/>
        <v>14.703181004212034</v>
      </c>
      <c r="N14" s="11">
        <f t="shared" si="3"/>
        <v>-92.224578756514262</v>
      </c>
      <c r="P14" s="12">
        <v>0.1749</v>
      </c>
    </row>
    <row r="15" spans="1:16" ht="14.25" x14ac:dyDescent="0.45">
      <c r="A15">
        <v>6</v>
      </c>
      <c r="B15" s="11"/>
      <c r="C15" s="11"/>
      <c r="D15" s="11"/>
      <c r="E15" s="11">
        <f t="shared" si="1"/>
        <v>-15.451179795072409</v>
      </c>
      <c r="F15" s="11"/>
      <c r="G15" s="11"/>
      <c r="H15" s="11">
        <f t="shared" si="4"/>
        <v>11.779393980729967</v>
      </c>
      <c r="I15" s="11">
        <f t="shared" si="6"/>
        <v>47.130637336937937</v>
      </c>
      <c r="J15" s="11">
        <f t="shared" si="7"/>
        <v>-8.7328225790218266</v>
      </c>
      <c r="K15" s="11">
        <f t="shared" si="5"/>
        <v>26.45043956113788</v>
      </c>
      <c r="L15" s="11">
        <f t="shared" si="2"/>
        <v>22.778653746795438</v>
      </c>
      <c r="M15" s="11">
        <f t="shared" si="0"/>
        <v>11.931464065648155</v>
      </c>
      <c r="N15" s="11">
        <f t="shared" si="3"/>
        <v>-80.293114690866105</v>
      </c>
      <c r="P15" s="12">
        <v>0.1249</v>
      </c>
    </row>
    <row r="16" spans="1:16" ht="14.25" x14ac:dyDescent="0.45">
      <c r="A16">
        <v>7</v>
      </c>
      <c r="B16" s="11"/>
      <c r="C16" s="11"/>
      <c r="D16" s="11"/>
      <c r="E16" s="11">
        <f t="shared" si="1"/>
        <v>-15.451179795072409</v>
      </c>
      <c r="F16" s="11"/>
      <c r="G16" s="11"/>
      <c r="H16" s="11">
        <f t="shared" si="4"/>
        <v>8.4219366091207863</v>
      </c>
      <c r="I16" s="11">
        <f t="shared" si="6"/>
        <v>47.130637336937937</v>
      </c>
      <c r="J16" s="11">
        <f t="shared" si="7"/>
        <v>-8.7328225790218266</v>
      </c>
      <c r="K16" s="11">
        <f t="shared" si="5"/>
        <v>28.464913984103386</v>
      </c>
      <c r="L16" s="11">
        <f t="shared" si="2"/>
        <v>21.435670798151765</v>
      </c>
      <c r="M16" s="11">
        <f t="shared" si="0"/>
        <v>9.8658816215125835</v>
      </c>
      <c r="N16" s="11">
        <f t="shared" si="3"/>
        <v>-70.42723306935352</v>
      </c>
      <c r="P16" s="12">
        <v>8.9300000000000004E-2</v>
      </c>
    </row>
    <row r="17" spans="1:16" ht="14.25" x14ac:dyDescent="0.45">
      <c r="A17">
        <v>8</v>
      </c>
      <c r="B17" s="11"/>
      <c r="C17" s="11"/>
      <c r="D17" s="11"/>
      <c r="E17" s="11">
        <f t="shared" si="1"/>
        <v>-15.451179795072409</v>
      </c>
      <c r="F17" s="11"/>
      <c r="G17" s="11"/>
      <c r="H17" s="11">
        <f t="shared" si="4"/>
        <v>8.4125055490881753</v>
      </c>
      <c r="I17" s="11">
        <f t="shared" si="6"/>
        <v>47.130637336937937</v>
      </c>
      <c r="J17" s="11">
        <f t="shared" si="7"/>
        <v>-8.7328225790218266</v>
      </c>
      <c r="K17" s="11">
        <f t="shared" si="5"/>
        <v>28.470572620122955</v>
      </c>
      <c r="L17" s="11">
        <f t="shared" si="2"/>
        <v>21.431898374138722</v>
      </c>
      <c r="M17" s="11">
        <f t="shared" si="0"/>
        <v>8.6674750396578215</v>
      </c>
      <c r="N17" s="11">
        <f t="shared" si="3"/>
        <v>-61.759758029695696</v>
      </c>
      <c r="P17" s="12">
        <v>8.9200000000000002E-2</v>
      </c>
    </row>
    <row r="18" spans="1:16" ht="14.25" x14ac:dyDescent="0.45">
      <c r="A18">
        <v>9</v>
      </c>
      <c r="B18" s="11"/>
      <c r="C18" s="11"/>
      <c r="D18" s="11"/>
      <c r="E18" s="11">
        <f t="shared" si="1"/>
        <v>-15.451179795072409</v>
      </c>
      <c r="F18" s="11"/>
      <c r="G18" s="11"/>
      <c r="H18" s="11">
        <f t="shared" si="4"/>
        <v>8.4219366091207863</v>
      </c>
      <c r="I18" s="11">
        <f t="shared" si="6"/>
        <v>47.130637336937937</v>
      </c>
      <c r="J18" s="11">
        <f t="shared" si="7"/>
        <v>-8.7328225790218266</v>
      </c>
      <c r="K18" s="11">
        <f t="shared" si="5"/>
        <v>28.464913984103386</v>
      </c>
      <c r="L18" s="11">
        <f t="shared" si="2"/>
        <v>21.435670798151765</v>
      </c>
      <c r="M18" s="11">
        <f t="shared" si="0"/>
        <v>7.6173195352287717</v>
      </c>
      <c r="N18" s="11">
        <f t="shared" si="3"/>
        <v>-54.142438494466923</v>
      </c>
      <c r="P18" s="12">
        <v>8.9300000000000004E-2</v>
      </c>
    </row>
    <row r="19" spans="1:16" ht="14.25" x14ac:dyDescent="0.45">
      <c r="A19">
        <v>10</v>
      </c>
      <c r="B19" s="11"/>
      <c r="C19" s="11"/>
      <c r="D19" s="11"/>
      <c r="E19" s="11">
        <f t="shared" si="1"/>
        <v>-15.451179795072409</v>
      </c>
      <c r="F19" s="11"/>
      <c r="G19" s="11"/>
      <c r="H19" s="11">
        <f t="shared" si="4"/>
        <v>4.2062527745440876</v>
      </c>
      <c r="I19" s="11">
        <f t="shared" si="6"/>
        <v>47.130637336937937</v>
      </c>
      <c r="J19" s="11">
        <f t="shared" si="7"/>
        <v>-8.7328225790218266</v>
      </c>
      <c r="K19" s="11">
        <f t="shared" si="5"/>
        <v>30.994324284849405</v>
      </c>
      <c r="L19" s="11">
        <f t="shared" si="2"/>
        <v>19.749397264321086</v>
      </c>
      <c r="M19" s="11">
        <f t="shared" si="0"/>
        <v>6.166689447844953</v>
      </c>
      <c r="N19" s="11">
        <f t="shared" si="3"/>
        <v>-47.975749046621971</v>
      </c>
      <c r="P19" s="12">
        <v>4.4600000000000001E-2</v>
      </c>
    </row>
    <row r="20" spans="1:16" ht="14.25" x14ac:dyDescent="0.45">
      <c r="A20">
        <v>11</v>
      </c>
      <c r="B20" s="11"/>
      <c r="C20" s="11"/>
      <c r="D20" s="11"/>
      <c r="E20" s="11">
        <f t="shared" si="1"/>
        <v>-15.451179795072409</v>
      </c>
      <c r="F20" s="11"/>
      <c r="G20" s="11"/>
      <c r="H20" s="11"/>
      <c r="I20" s="11">
        <f t="shared" si="6"/>
        <v>47.130637336937937</v>
      </c>
      <c r="J20" s="11">
        <f t="shared" si="7"/>
        <v>-8.7328225790218266</v>
      </c>
      <c r="K20" s="11">
        <f t="shared" si="5"/>
        <v>33.518075949575859</v>
      </c>
      <c r="L20" s="11">
        <f t="shared" si="2"/>
        <v>18.06689615450345</v>
      </c>
      <c r="M20" s="11">
        <f t="shared" si="0"/>
        <v>4.9569543279474777</v>
      </c>
      <c r="N20" s="11">
        <f t="shared" si="3"/>
        <v>-43.018794718674492</v>
      </c>
    </row>
    <row r="21" spans="1:16" ht="14.25" x14ac:dyDescent="0.45">
      <c r="A21">
        <v>12</v>
      </c>
      <c r="B21" s="11"/>
      <c r="C21" s="11"/>
      <c r="D21" s="11"/>
      <c r="E21" s="11">
        <f t="shared" si="1"/>
        <v>-15.451179795072409</v>
      </c>
      <c r="F21" s="11"/>
      <c r="G21" s="11"/>
      <c r="H21" s="11"/>
      <c r="I21" s="11">
        <f t="shared" si="6"/>
        <v>47.130637336937937</v>
      </c>
      <c r="J21" s="11">
        <f t="shared" si="7"/>
        <v>-8.7328225790218266</v>
      </c>
      <c r="K21" s="11">
        <f t="shared" si="5"/>
        <v>33.518075949575859</v>
      </c>
      <c r="L21" s="11">
        <f t="shared" si="2"/>
        <v>18.06689615450345</v>
      </c>
      <c r="M21" s="11">
        <f t="shared" si="0"/>
        <v>4.3556006541919894</v>
      </c>
      <c r="N21" s="11">
        <f t="shared" si="3"/>
        <v>-38.663194064482504</v>
      </c>
    </row>
    <row r="22" spans="1:16" ht="14.25" x14ac:dyDescent="0.45">
      <c r="A22">
        <v>13</v>
      </c>
      <c r="B22" s="11"/>
      <c r="C22" s="11"/>
      <c r="D22" s="11"/>
      <c r="E22" s="11">
        <f t="shared" si="1"/>
        <v>-15.451179795072409</v>
      </c>
      <c r="F22" s="11"/>
      <c r="G22" s="11"/>
      <c r="H22" s="11"/>
      <c r="I22" s="11">
        <f t="shared" si="6"/>
        <v>47.130637336937937</v>
      </c>
      <c r="J22" s="11">
        <f t="shared" si="7"/>
        <v>-8.7328225790218266</v>
      </c>
      <c r="K22" s="11">
        <f t="shared" si="5"/>
        <v>33.518075949575859</v>
      </c>
      <c r="L22" s="11">
        <f t="shared" si="2"/>
        <v>18.06689615450345</v>
      </c>
      <c r="M22" s="11">
        <f t="shared" si="0"/>
        <v>3.8272002935022216</v>
      </c>
      <c r="N22" s="11">
        <f t="shared" si="3"/>
        <v>-34.835993770980281</v>
      </c>
    </row>
    <row r="23" spans="1:16" ht="14.65" thickBot="1" x14ac:dyDescent="0.5">
      <c r="A23">
        <v>14</v>
      </c>
      <c r="B23" s="11"/>
      <c r="C23" s="11"/>
      <c r="D23" s="11"/>
      <c r="E23" s="11">
        <f t="shared" si="1"/>
        <v>-15.451179795072409</v>
      </c>
      <c r="F23" s="11"/>
      <c r="G23" s="11"/>
      <c r="H23" s="11"/>
      <c r="I23" s="11">
        <f t="shared" si="6"/>
        <v>47.130637336937937</v>
      </c>
      <c r="J23" s="11">
        <f t="shared" si="7"/>
        <v>-8.7328225790218266</v>
      </c>
      <c r="K23" s="11">
        <f t="shared" si="5"/>
        <v>33.518075949575859</v>
      </c>
      <c r="L23" s="11">
        <f t="shared" si="2"/>
        <v>18.06689615450345</v>
      </c>
      <c r="M23" s="11">
        <f t="shared" si="0"/>
        <v>3.3629029035263445</v>
      </c>
      <c r="N23" s="11">
        <f t="shared" si="3"/>
        <v>-31.473090867453937</v>
      </c>
    </row>
    <row r="24" spans="1:16" ht="14.65" thickBot="1" x14ac:dyDescent="0.5">
      <c r="A24">
        <v>15</v>
      </c>
      <c r="B24" s="11"/>
      <c r="C24" s="11">
        <f>-WC</f>
        <v>16.967950105667114</v>
      </c>
      <c r="D24" s="11"/>
      <c r="E24" s="11">
        <f t="shared" si="1"/>
        <v>-15.451179795072409</v>
      </c>
      <c r="F24" s="11"/>
      <c r="G24" s="11"/>
      <c r="H24" s="11"/>
      <c r="I24" s="11">
        <f t="shared" si="6"/>
        <v>47.130637336937937</v>
      </c>
      <c r="J24" s="11">
        <f t="shared" si="7"/>
        <v>-8.7328225790218266</v>
      </c>
      <c r="K24" s="11">
        <f t="shared" si="5"/>
        <v>33.518075949575859</v>
      </c>
      <c r="L24" s="11">
        <f>C24+K24+G24+E24</f>
        <v>35.034846260170568</v>
      </c>
      <c r="M24" s="11">
        <f t="shared" si="0"/>
        <v>5.7301254862502553</v>
      </c>
      <c r="N24" s="13">
        <f>N23+M24</f>
        <v>-25.742965381203682</v>
      </c>
    </row>
    <row r="25" spans="1:16" ht="14.25" x14ac:dyDescent="0.45">
      <c r="C25" s="3"/>
      <c r="D25" s="2"/>
      <c r="E25" s="4"/>
      <c r="F25" s="2"/>
      <c r="G25" s="1"/>
      <c r="H25" s="1"/>
    </row>
    <row r="26" spans="1:16" ht="14.25" x14ac:dyDescent="0.45">
      <c r="C26" s="3"/>
      <c r="D26" s="2"/>
      <c r="E26" s="4"/>
      <c r="F26" s="2"/>
      <c r="G26" s="1"/>
      <c r="H26" s="1"/>
    </row>
    <row r="27" spans="1:16" x14ac:dyDescent="0.25">
      <c r="C27" s="3"/>
      <c r="D27" s="2"/>
      <c r="E27" s="4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ainForm">
                <anchor moveWithCells="1" sizeWithCells="1">
                  <from>
                    <xdr:col>2</xdr:col>
                    <xdr:colOff>876300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5"/>
  <sheetViews>
    <sheetView workbookViewId="0">
      <selection sqref="A1:B16"/>
    </sheetView>
  </sheetViews>
  <sheetFormatPr defaultRowHeight="15" x14ac:dyDescent="0.25"/>
  <sheetData>
    <row r="1" spans="1:2" ht="14.25" x14ac:dyDescent="0.45">
      <c r="A1">
        <v>-52</v>
      </c>
      <c r="B1">
        <v>11</v>
      </c>
    </row>
    <row r="2" spans="1:2" ht="14.25" x14ac:dyDescent="0.45">
      <c r="A2">
        <v>-44</v>
      </c>
      <c r="B2">
        <v>13</v>
      </c>
    </row>
    <row r="3" spans="1:2" ht="14.25" x14ac:dyDescent="0.45">
      <c r="A3">
        <v>-36</v>
      </c>
      <c r="B3">
        <v>24</v>
      </c>
    </row>
    <row r="4" spans="1:2" ht="14.25" x14ac:dyDescent="0.45">
      <c r="A4">
        <v>-28</v>
      </c>
      <c r="B4">
        <v>49</v>
      </c>
    </row>
    <row r="5" spans="1:2" ht="14.25" x14ac:dyDescent="0.45">
      <c r="A5">
        <v>-20</v>
      </c>
      <c r="B5">
        <v>66</v>
      </c>
    </row>
    <row r="6" spans="1:2" ht="14.25" x14ac:dyDescent="0.45">
      <c r="A6">
        <v>-12</v>
      </c>
      <c r="B6">
        <v>57</v>
      </c>
    </row>
    <row r="7" spans="1:2" ht="14.25" x14ac:dyDescent="0.45">
      <c r="A7">
        <v>-4</v>
      </c>
      <c r="B7">
        <v>66</v>
      </c>
    </row>
    <row r="8" spans="1:2" ht="14.25" x14ac:dyDescent="0.45">
      <c r="A8">
        <v>4</v>
      </c>
      <c r="B8">
        <v>57</v>
      </c>
    </row>
    <row r="9" spans="1:2" ht="14.25" x14ac:dyDescent="0.45">
      <c r="A9">
        <v>12</v>
      </c>
      <c r="B9">
        <v>67</v>
      </c>
    </row>
    <row r="10" spans="1:2" ht="14.25" x14ac:dyDescent="0.45">
      <c r="A10">
        <v>20</v>
      </c>
      <c r="B10">
        <v>34</v>
      </c>
    </row>
    <row r="11" spans="1:2" ht="14.25" x14ac:dyDescent="0.45">
      <c r="A11">
        <v>28</v>
      </c>
      <c r="B11">
        <v>29</v>
      </c>
    </row>
    <row r="12" spans="1:2" ht="14.25" x14ac:dyDescent="0.45">
      <c r="A12">
        <v>36</v>
      </c>
      <c r="B12">
        <v>9</v>
      </c>
    </row>
    <row r="13" spans="1:2" ht="14.25" x14ac:dyDescent="0.45">
      <c r="A13">
        <v>44</v>
      </c>
      <c r="B13">
        <v>5</v>
      </c>
    </row>
    <row r="14" spans="1:2" ht="14.25" x14ac:dyDescent="0.45">
      <c r="A14">
        <v>52</v>
      </c>
      <c r="B14">
        <v>6</v>
      </c>
    </row>
    <row r="15" spans="1:2" ht="14.25" x14ac:dyDescent="0.45">
      <c r="A15">
        <v>60</v>
      </c>
      <c r="B15">
        <v>2</v>
      </c>
    </row>
    <row r="16" spans="1:2" ht="14.25" x14ac:dyDescent="0.45">
      <c r="A16">
        <v>68</v>
      </c>
      <c r="B16">
        <v>3</v>
      </c>
    </row>
    <row r="17" ht="14.25" x14ac:dyDescent="0.45"/>
    <row r="18" ht="14.25" x14ac:dyDescent="0.45"/>
    <row r="19" ht="14.25" x14ac:dyDescent="0.45"/>
    <row r="20" ht="14.25" x14ac:dyDescent="0.45"/>
    <row r="21" ht="14.25" x14ac:dyDescent="0.45"/>
    <row r="22" ht="14.25" x14ac:dyDescent="0.45"/>
    <row r="23" ht="14.25" x14ac:dyDescent="0.45"/>
    <row r="24" ht="14.25" x14ac:dyDescent="0.45"/>
    <row r="25" ht="14.25" x14ac:dyDescent="0.4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L2:N15"/>
  <sheetViews>
    <sheetView workbookViewId="0">
      <selection activeCell="M18" sqref="M18"/>
    </sheetView>
  </sheetViews>
  <sheetFormatPr defaultRowHeight="15" x14ac:dyDescent="0.25"/>
  <sheetData>
    <row r="2" spans="12:14" x14ac:dyDescent="0.25">
      <c r="L2" t="s">
        <v>23</v>
      </c>
    </row>
    <row r="4" spans="12:14" x14ac:dyDescent="0.25">
      <c r="N4" t="s">
        <v>30</v>
      </c>
    </row>
    <row r="5" spans="12:14" x14ac:dyDescent="0.25">
      <c r="L5" t="s">
        <v>28</v>
      </c>
      <c r="M5" t="s">
        <v>29</v>
      </c>
      <c r="N5" t="s">
        <v>29</v>
      </c>
    </row>
    <row r="6" spans="12:14" x14ac:dyDescent="0.25">
      <c r="L6">
        <v>500</v>
      </c>
      <c r="M6">
        <v>37.799999999999997</v>
      </c>
      <c r="N6">
        <v>36.9</v>
      </c>
    </row>
    <row r="7" spans="12:14" x14ac:dyDescent="0.25">
      <c r="L7">
        <v>500</v>
      </c>
      <c r="M7">
        <v>37.6</v>
      </c>
      <c r="N7">
        <v>38.4</v>
      </c>
    </row>
    <row r="8" spans="12:14" x14ac:dyDescent="0.25">
      <c r="L8">
        <v>500</v>
      </c>
      <c r="M8">
        <v>37.200000000000003</v>
      </c>
      <c r="N8">
        <v>38.200000000000003</v>
      </c>
    </row>
    <row r="9" spans="12:14" x14ac:dyDescent="0.25">
      <c r="L9">
        <v>1000</v>
      </c>
      <c r="M9">
        <v>40.1</v>
      </c>
      <c r="N9">
        <v>39.6</v>
      </c>
    </row>
    <row r="10" spans="12:14" x14ac:dyDescent="0.25">
      <c r="L10">
        <v>1000</v>
      </c>
      <c r="M10">
        <v>38.700000000000003</v>
      </c>
      <c r="N10">
        <v>37.9</v>
      </c>
    </row>
    <row r="11" spans="12:14" x14ac:dyDescent="0.25">
      <c r="L11">
        <v>1000</v>
      </c>
      <c r="M11">
        <v>35</v>
      </c>
      <c r="N11">
        <v>37.299999999999997</v>
      </c>
    </row>
    <row r="12" spans="12:14" x14ac:dyDescent="0.25">
      <c r="L12">
        <v>3000</v>
      </c>
      <c r="M12">
        <v>39.369999999999997</v>
      </c>
      <c r="N12">
        <v>39.33</v>
      </c>
    </row>
    <row r="13" spans="12:14" x14ac:dyDescent="0.25">
      <c r="L13">
        <v>3000</v>
      </c>
      <c r="M13">
        <v>38.369999999999997</v>
      </c>
      <c r="N13">
        <v>39.97</v>
      </c>
    </row>
    <row r="14" spans="12:14" x14ac:dyDescent="0.25">
      <c r="L14">
        <v>3000</v>
      </c>
      <c r="M14">
        <v>37.5</v>
      </c>
      <c r="N14">
        <v>38.03</v>
      </c>
    </row>
    <row r="15" spans="12:14" x14ac:dyDescent="0.25">
      <c r="L15">
        <v>6000</v>
      </c>
      <c r="N15">
        <v>39.03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L9"/>
  <sheetViews>
    <sheetView workbookViewId="0">
      <selection activeCell="L9" sqref="L9"/>
    </sheetView>
  </sheetViews>
  <sheetFormatPr defaultRowHeight="15" x14ac:dyDescent="0.25"/>
  <sheetData>
    <row r="1" spans="2:12" x14ac:dyDescent="0.25">
      <c r="B1" t="s">
        <v>24</v>
      </c>
    </row>
    <row r="2" spans="2:12" x14ac:dyDescent="0.25">
      <c r="K2" t="s">
        <v>25</v>
      </c>
    </row>
    <row r="3" spans="2:12" x14ac:dyDescent="0.25">
      <c r="K3" t="s">
        <v>26</v>
      </c>
      <c r="L3" t="s">
        <v>27</v>
      </c>
    </row>
    <row r="4" spans="2:12" x14ac:dyDescent="0.25">
      <c r="K4">
        <v>1000</v>
      </c>
      <c r="L4">
        <v>10.1</v>
      </c>
    </row>
    <row r="5" spans="2:12" x14ac:dyDescent="0.25">
      <c r="K5">
        <v>1000</v>
      </c>
      <c r="L5">
        <v>11.4</v>
      </c>
    </row>
    <row r="6" spans="2:12" x14ac:dyDescent="0.25">
      <c r="K6">
        <v>1000</v>
      </c>
      <c r="L6">
        <v>9.1</v>
      </c>
    </row>
    <row r="7" spans="2:12" x14ac:dyDescent="0.25">
      <c r="K7">
        <v>3000</v>
      </c>
      <c r="L7">
        <v>12.7</v>
      </c>
    </row>
    <row r="8" spans="2:12" x14ac:dyDescent="0.25">
      <c r="K8">
        <v>500</v>
      </c>
      <c r="L8">
        <v>11.8</v>
      </c>
    </row>
    <row r="9" spans="2:12" x14ac:dyDescent="0.25">
      <c r="K9">
        <v>500</v>
      </c>
      <c r="L9">
        <v>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Main</vt:lpstr>
      <vt:lpstr>Histogram Data</vt:lpstr>
      <vt:lpstr>Sheet1</vt:lpstr>
      <vt:lpstr>Sheet2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edgar</cp:lastModifiedBy>
  <dcterms:created xsi:type="dcterms:W3CDTF">2013-10-29T18:00:12Z</dcterms:created>
  <dcterms:modified xsi:type="dcterms:W3CDTF">2022-02-06T09:37:20Z</dcterms:modified>
</cp:coreProperties>
</file>